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ab1810d106deca/Documentos/"/>
    </mc:Choice>
  </mc:AlternateContent>
  <xr:revisionPtr revIDLastSave="2" documentId="8_{F91F280F-BB93-47ED-98F3-423C193355DD}" xr6:coauthVersionLast="47" xr6:coauthVersionMax="47" xr10:uidLastSave="{05367ECE-59C1-4325-B8C2-2188CD69D7EE}"/>
  <bookViews>
    <workbookView xWindow="28680" yWindow="-120" windowWidth="29040" windowHeight="15720" xr2:uid="{3611FDA7-627F-459E-94E8-7613487A90FA}"/>
  </bookViews>
  <sheets>
    <sheet name="Planilha1" sheetId="1" r:id="rId1"/>
    <sheet name="Planilha2" sheetId="2" r:id="rId2"/>
  </sheets>
  <definedNames>
    <definedName name="aporte">Planilha1!$D$17</definedName>
    <definedName name="qtd_anos">Planilha1!$D$18</definedName>
    <definedName name="rendimento_carteira">Planilha1!$D$13</definedName>
    <definedName name="taxa_rendimento">Planilha1!$D$19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D36" i="1" s="1"/>
  <c r="C37" i="1"/>
  <c r="D37" i="1" s="1"/>
  <c r="C38" i="1"/>
  <c r="D38" i="1" s="1"/>
  <c r="C39" i="1"/>
  <c r="D39" i="1" s="1"/>
  <c r="C40" i="1"/>
  <c r="D40" i="1" s="1"/>
  <c r="C35" i="1"/>
  <c r="D35" i="1" s="1"/>
  <c r="I4" i="2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D20" i="1"/>
  <c r="D21" i="1" s="1"/>
  <c r="D14" i="1"/>
  <c r="C25" i="1"/>
  <c r="D25" i="1" s="1"/>
  <c r="C26" i="1"/>
  <c r="D26" i="1" s="1"/>
  <c r="C27" i="1"/>
  <c r="D27" i="1" s="1"/>
  <c r="C28" i="1"/>
  <c r="D28" i="1" s="1"/>
  <c r="C24" i="1"/>
  <c r="D24" i="1" s="1"/>
</calcChain>
</file>

<file path=xl/sharedStrings.xml><?xml version="1.0" encoding="utf-8"?>
<sst xmlns="http://schemas.openxmlformats.org/spreadsheetml/2006/main" count="70" uniqueCount="34">
  <si>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</si>
  <si>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</si>
  <si>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</si>
  <si>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</si>
  <si>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</si>
  <si>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</si>
  <si>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Quantos em 2 anos?</t>
  </si>
  <si>
    <t>Quantos em 5 anos?</t>
  </si>
  <si>
    <t>Quantos em 10 anos?</t>
  </si>
  <si>
    <t xml:space="preserve">Quantos em 30 anos? </t>
  </si>
  <si>
    <t xml:space="preserve">Quantos em 20 anos? </t>
  </si>
  <si>
    <t>CENÁRIOS</t>
  </si>
  <si>
    <t>Dividendo</t>
  </si>
  <si>
    <t>Salário</t>
  </si>
  <si>
    <t>Remdimento Carteira</t>
  </si>
  <si>
    <t>Sugestão de investimento</t>
  </si>
  <si>
    <t>CONFIGURAÇÕES</t>
  </si>
  <si>
    <t>Perfil</t>
  </si>
  <si>
    <t>Moderado</t>
  </si>
  <si>
    <t>Valor Investido por mês</t>
  </si>
  <si>
    <t>Agressivo</t>
  </si>
  <si>
    <t>Tipo de FII</t>
  </si>
  <si>
    <t>Papel</t>
  </si>
  <si>
    <t>Tijolo</t>
  </si>
  <si>
    <t>Hibridos</t>
  </si>
  <si>
    <t>FOF's</t>
  </si>
  <si>
    <t>Desenvolvimento</t>
  </si>
  <si>
    <t>Hotelarias</t>
  </si>
  <si>
    <t>Percentual Sugerido</t>
  </si>
  <si>
    <t>Valores</t>
  </si>
  <si>
    <t>Chave</t>
  </si>
  <si>
    <t xml:space="preserve">Tipo de FII </t>
  </si>
  <si>
    <t>%</t>
  </si>
  <si>
    <t>Conservador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</si>
</sst>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3F3F76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sz val="12"/>
      <color rgb="FF3F3F7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99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theme="9" tint="0.59996337778862885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9" tint="0.59996337778862885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</borders>
  <cellStyleXfs count="2">
    <xf numFmtId="0" fontId="0" fillId="0" borderId="0"/>
    <xf numFmtId="0" fontId="3" fillId="4" borderId="1" applyNumberFormat="0" applyAlignment="0" applyProtection="0"/>
  </cellStyleXfs>
  <cellXfs count="59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5" fillId="0" borderId="6" xfId="0" applyFont="1" applyBorder="1"/>
    <xf numFmtId="0" fontId="5" fillId="0" borderId="8" xfId="0" applyFont="1" applyBorder="1"/>
    <xf numFmtId="0" fontId="5" fillId="0" borderId="6" xfId="0" applyFont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0" fontId="2" fillId="0" borderId="7" xfId="0" applyNumberFormat="1" applyFont="1" applyBorder="1" applyAlignment="1">
      <alignment horizontal="center" vertical="center"/>
    </xf>
    <xf numFmtId="8" fontId="2" fillId="3" borderId="7" xfId="0" applyNumberFormat="1" applyFont="1" applyFill="1" applyBorder="1" applyAlignment="1">
      <alignment horizontal="center" vertical="center"/>
    </xf>
    <xf numFmtId="8" fontId="2" fillId="3" borderId="10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3" fillId="4" borderId="1" xfId="1"/>
    <xf numFmtId="164" fontId="0" fillId="0" borderId="0" xfId="0" applyNumberFormat="1"/>
    <xf numFmtId="10" fontId="0" fillId="0" borderId="0" xfId="0" applyNumberFormat="1"/>
    <xf numFmtId="0" fontId="0" fillId="0" borderId="9" xfId="0" applyBorder="1"/>
    <xf numFmtId="0" fontId="0" fillId="0" borderId="9" xfId="0" applyBorder="1" applyAlignment="1">
      <alignment horizontal="center"/>
    </xf>
    <xf numFmtId="10" fontId="0" fillId="0" borderId="9" xfId="0" applyNumberFormat="1" applyBorder="1"/>
    <xf numFmtId="10" fontId="3" fillId="4" borderId="1" xfId="1" applyNumberFormat="1"/>
    <xf numFmtId="0" fontId="10" fillId="4" borderId="13" xfId="1" applyFont="1" applyBorder="1"/>
    <xf numFmtId="0" fontId="10" fillId="4" borderId="14" xfId="1" applyFont="1" applyBorder="1" applyAlignment="1">
      <alignment horizontal="center"/>
    </xf>
    <xf numFmtId="0" fontId="10" fillId="4" borderId="15" xfId="1" applyFont="1" applyBorder="1"/>
    <xf numFmtId="164" fontId="1" fillId="0" borderId="7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0" fontId="6" fillId="6" borderId="6" xfId="0" applyFont="1" applyFill="1" applyBorder="1"/>
    <xf numFmtId="164" fontId="6" fillId="6" borderId="0" xfId="0" applyNumberFormat="1" applyFont="1" applyFill="1" applyBorder="1" applyAlignment="1">
      <alignment horizontal="center"/>
    </xf>
    <xf numFmtId="0" fontId="6" fillId="6" borderId="7" xfId="0" applyFont="1" applyFill="1" applyBorder="1"/>
    <xf numFmtId="0" fontId="5" fillId="0" borderId="0" xfId="0" applyFont="1" applyBorder="1"/>
    <xf numFmtId="0" fontId="5" fillId="0" borderId="7" xfId="0" applyFont="1" applyBorder="1"/>
    <xf numFmtId="0" fontId="6" fillId="0" borderId="6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0" fontId="5" fillId="0" borderId="0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10" fontId="5" fillId="0" borderId="9" xfId="0" applyNumberFormat="1" applyFont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/>
    </xf>
    <xf numFmtId="10" fontId="1" fillId="0" borderId="7" xfId="0" applyNumberFormat="1" applyFont="1" applyBorder="1" applyAlignment="1">
      <alignment horizontal="center" vertical="center"/>
    </xf>
    <xf numFmtId="0" fontId="1" fillId="0" borderId="0" xfId="0" applyFont="1"/>
    <xf numFmtId="8" fontId="1" fillId="0" borderId="0" xfId="0" applyNumberFormat="1" applyFont="1" applyBorder="1" applyAlignment="1">
      <alignment horizontal="center" vertical="center"/>
    </xf>
    <xf numFmtId="8" fontId="1" fillId="0" borderId="7" xfId="0" applyNumberFormat="1" applyFont="1" applyBorder="1" applyAlignment="1">
      <alignment horizontal="center" vertical="center"/>
    </xf>
    <xf numFmtId="8" fontId="1" fillId="0" borderId="9" xfId="0" applyNumberFormat="1" applyFont="1" applyBorder="1" applyAlignment="1">
      <alignment horizontal="center" vertical="center"/>
    </xf>
    <xf numFmtId="8" fontId="1" fillId="0" borderId="10" xfId="0" applyNumberFormat="1" applyFont="1" applyBorder="1" applyAlignment="1">
      <alignment horizontal="center" vertical="center"/>
    </xf>
  </cellXfs>
  <cellStyles count="2">
    <cellStyle name="Entrada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Percentual Sugerido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Planilha1!$C$34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Planilha1!$B$35:$B$40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Planilha1!$C$35:$C$40</c:f>
              <c:numCache>
                <c:formatCode>0.00%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6F-4695-A453-3617D8E504C9}"/>
            </c:ext>
          </c:extLst>
        </c:ser>
        <c:ser>
          <c:idx val="1"/>
          <c:order val="1"/>
          <c:tx>
            <c:strRef>
              <c:f>Planilha1!$D$34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Planilha1!$D$35:$D$40</c:f>
              <c:numCache>
                <c:formatCode>"R$"\ #,##0.00</c:formatCode>
                <c:ptCount val="6"/>
                <c:pt idx="0">
                  <c:v>150</c:v>
                </c:pt>
                <c:pt idx="1">
                  <c:v>250</c:v>
                </c:pt>
                <c:pt idx="2">
                  <c:v>50</c:v>
                </c:pt>
                <c:pt idx="3">
                  <c:v>50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6F-4695-A453-3617D8E50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0</xdr:row>
      <xdr:rowOff>91440</xdr:rowOff>
    </xdr:from>
    <xdr:to>
      <xdr:col>4</xdr:col>
      <xdr:colOff>342900</xdr:colOff>
      <xdr:row>7</xdr:row>
      <xdr:rowOff>40005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DDE16290-F503-AF86-117B-C05BEF4039F1}"/>
            </a:ext>
          </a:extLst>
        </xdr:cNvPr>
        <xdr:cNvSpPr/>
      </xdr:nvSpPr>
      <xdr:spPr>
        <a:xfrm>
          <a:off x="400050" y="91440"/>
          <a:ext cx="6296025" cy="121539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5400" b="1">
              <a:latin typeface="Cascadia Mono" panose="020B0609020000020004" pitchFamily="49" charset="0"/>
              <a:ea typeface="Cascadia Mono" panose="020B0609020000020004" pitchFamily="49" charset="0"/>
              <a:cs typeface="Cascadia Mono" panose="020B0609020000020004" pitchFamily="49" charset="0"/>
            </a:rPr>
            <a:t>CÁLCULOS</a:t>
          </a:r>
          <a:r>
            <a:rPr lang="pt-BR" sz="5400" b="1" baseline="0">
              <a:latin typeface="Cascadia Mono" panose="020B0609020000020004" pitchFamily="49" charset="0"/>
              <a:ea typeface="Cascadia Mono" panose="020B0609020000020004" pitchFamily="49" charset="0"/>
              <a:cs typeface="Cascadia Mono" panose="020B0609020000020004" pitchFamily="49" charset="0"/>
            </a:rPr>
            <a:t> S.A.</a:t>
          </a:r>
          <a:endParaRPr lang="pt-BR" sz="5400" b="1">
            <a:latin typeface="Cascadia Mono" panose="020B0609020000020004" pitchFamily="49" charset="0"/>
            <a:ea typeface="Cascadia Mono" panose="020B0609020000020004" pitchFamily="49" charset="0"/>
            <a:cs typeface="Cascadia Mono" panose="020B0609020000020004" pitchFamily="49" charset="0"/>
          </a:endParaRPr>
        </a:p>
      </xdr:txBody>
    </xdr:sp>
    <xdr:clientData/>
  </xdr:twoCellAnchor>
  <xdr:twoCellAnchor>
    <xdr:from>
      <xdr:col>1</xdr:col>
      <xdr:colOff>0</xdr:colOff>
      <xdr:row>42</xdr:row>
      <xdr:rowOff>110490</xdr:rowOff>
    </xdr:from>
    <xdr:to>
      <xdr:col>3</xdr:col>
      <xdr:colOff>1463040</xdr:colOff>
      <xdr:row>59</xdr:row>
      <xdr:rowOff>74295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021707A-9212-0914-310D-0A4CB6716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DE132-4A43-4E96-BEB8-ECE9E97A6880}">
  <dimension ref="A10:D41"/>
  <sheetViews>
    <sheetView showGridLines="0" showRowColHeaders="0" tabSelected="1" topLeftCell="A15" zoomScaleNormal="100" workbookViewId="0">
      <selection activeCell="H40" sqref="H40"/>
    </sheetView>
  </sheetViews>
  <sheetFormatPr defaultRowHeight="14.4" x14ac:dyDescent="0.3"/>
  <cols>
    <col min="2" max="2" width="29.44140625" customWidth="1"/>
    <col min="3" max="3" width="32.6640625" customWidth="1"/>
    <col min="4" max="4" width="21.6640625" customWidth="1"/>
    <col min="7" max="7" width="23.5546875" customWidth="1"/>
    <col min="8" max="8" width="22.5546875" customWidth="1"/>
  </cols>
  <sheetData>
    <row r="10" spans="2:4" ht="15" thickBot="1" x14ac:dyDescent="0.35"/>
    <row r="11" spans="2:4" ht="22.8" x14ac:dyDescent="0.3">
      <c r="B11" s="18" t="s">
        <v>16</v>
      </c>
      <c r="C11" s="19"/>
      <c r="D11" s="20"/>
    </row>
    <row r="12" spans="2:4" ht="15.6" x14ac:dyDescent="0.3">
      <c r="B12" s="5" t="s">
        <v>13</v>
      </c>
      <c r="C12" s="9"/>
      <c r="D12" s="37">
        <v>2987</v>
      </c>
    </row>
    <row r="13" spans="2:4" ht="15.6" x14ac:dyDescent="0.3">
      <c r="B13" s="5" t="s">
        <v>14</v>
      </c>
      <c r="C13" s="9"/>
      <c r="D13" s="53">
        <v>8.6999999999999994E-3</v>
      </c>
    </row>
    <row r="14" spans="2:4" ht="16.2" thickBot="1" x14ac:dyDescent="0.35">
      <c r="B14" s="8" t="s">
        <v>15</v>
      </c>
      <c r="C14" s="12"/>
      <c r="D14" s="38">
        <f>D12*0.3</f>
        <v>896.1</v>
      </c>
    </row>
    <row r="15" spans="2:4" ht="15" thickBot="1" x14ac:dyDescent="0.35">
      <c r="B15" s="54"/>
      <c r="C15" s="54"/>
      <c r="D15" s="54"/>
    </row>
    <row r="16" spans="2:4" ht="33" customHeight="1" x14ac:dyDescent="0.3">
      <c r="B16" s="21" t="s">
        <v>5</v>
      </c>
      <c r="C16" s="22"/>
      <c r="D16" s="23"/>
    </row>
    <row r="17" spans="1:4" ht="17.399999999999999" customHeight="1" x14ac:dyDescent="0.3">
      <c r="B17" s="5" t="s">
        <v>0</v>
      </c>
      <c r="C17" s="9"/>
      <c r="D17" s="13">
        <v>400</v>
      </c>
    </row>
    <row r="18" spans="1:4" ht="17.399999999999999" customHeight="1" x14ac:dyDescent="0.3">
      <c r="B18" s="5" t="s">
        <v>1</v>
      </c>
      <c r="C18" s="9"/>
      <c r="D18" s="14">
        <v>5</v>
      </c>
    </row>
    <row r="19" spans="1:4" ht="17.399999999999999" customHeight="1" x14ac:dyDescent="0.3">
      <c r="B19" s="5" t="s">
        <v>2</v>
      </c>
      <c r="C19" s="9"/>
      <c r="D19" s="15">
        <v>1.0800000000000001E-2</v>
      </c>
    </row>
    <row r="20" spans="1:4" ht="17.399999999999999" customHeight="1" x14ac:dyDescent="0.3">
      <c r="B20" s="6" t="s">
        <v>3</v>
      </c>
      <c r="C20" s="10"/>
      <c r="D20" s="16">
        <f>FV(D19,D18*12,D17*-1)</f>
        <v>33521.607743703375</v>
      </c>
    </row>
    <row r="21" spans="1:4" ht="17.399999999999999" customHeight="1" thickBot="1" x14ac:dyDescent="0.35">
      <c r="B21" s="7" t="s">
        <v>4</v>
      </c>
      <c r="C21" s="11"/>
      <c r="D21" s="17">
        <f>D20*D19</f>
        <v>362.03336363199645</v>
      </c>
    </row>
    <row r="22" spans="1:4" ht="15" thickBot="1" x14ac:dyDescent="0.35">
      <c r="B22" s="54"/>
      <c r="C22" s="54"/>
      <c r="D22" s="54"/>
    </row>
    <row r="23" spans="1:4" ht="16.2" thickBot="1" x14ac:dyDescent="0.35">
      <c r="B23" s="24" t="s">
        <v>11</v>
      </c>
      <c r="C23" s="25"/>
      <c r="D23" s="26" t="s">
        <v>12</v>
      </c>
    </row>
    <row r="24" spans="1:4" ht="15.6" x14ac:dyDescent="0.3">
      <c r="A24" s="1">
        <v>2</v>
      </c>
      <c r="B24" s="3" t="s">
        <v>6</v>
      </c>
      <c r="C24" s="55">
        <f>FV($D$19,$A24*12,$D$17*-1)</f>
        <v>10892.345464232636</v>
      </c>
      <c r="D24" s="56">
        <f>C24*rendimento_carteira</f>
        <v>94.763405538823932</v>
      </c>
    </row>
    <row r="25" spans="1:4" ht="15.6" x14ac:dyDescent="0.3">
      <c r="A25" s="1">
        <v>5</v>
      </c>
      <c r="B25" s="3" t="s">
        <v>7</v>
      </c>
      <c r="C25" s="55">
        <f>FV($D$19,$A25*12,$D$17*-1)</f>
        <v>33521.607743703375</v>
      </c>
      <c r="D25" s="56">
        <f>C25*rendimento_carteira</f>
        <v>291.63798737021932</v>
      </c>
    </row>
    <row r="26" spans="1:4" ht="15.6" x14ac:dyDescent="0.3">
      <c r="A26" s="1">
        <v>10</v>
      </c>
      <c r="B26" s="3" t="s">
        <v>8</v>
      </c>
      <c r="C26" s="55">
        <f>FV($D$19,$A26*12,$D$17*-1)</f>
        <v>97383.066501920039</v>
      </c>
      <c r="D26" s="56">
        <f>C26*rendimento_carteira</f>
        <v>847.23267856670429</v>
      </c>
    </row>
    <row r="27" spans="1:4" ht="15.6" x14ac:dyDescent="0.3">
      <c r="A27" s="1">
        <v>20</v>
      </c>
      <c r="B27" s="3" t="s">
        <v>10</v>
      </c>
      <c r="C27" s="55">
        <f>FV($D$19,$A27*12,$D$17*-1)</f>
        <v>450819.59731940931</v>
      </c>
      <c r="D27" s="56">
        <f>C27*rendimento_carteira</f>
        <v>3922.1304966788607</v>
      </c>
    </row>
    <row r="28" spans="1:4" ht="16.2" thickBot="1" x14ac:dyDescent="0.35">
      <c r="A28" s="1">
        <v>30</v>
      </c>
      <c r="B28" s="4" t="s">
        <v>9</v>
      </c>
      <c r="C28" s="57">
        <f>FV($D$19,$A28*12,$D$17*-1)</f>
        <v>1733561.9241267005</v>
      </c>
      <c r="D28" s="58">
        <f>C28*rendimento_carteira</f>
        <v>15081.988739902294</v>
      </c>
    </row>
    <row r="29" spans="1:4" x14ac:dyDescent="0.3">
      <c r="B29" s="54"/>
      <c r="C29" s="54"/>
      <c r="D29" s="54"/>
    </row>
    <row r="30" spans="1:4" ht="15" thickBot="1" x14ac:dyDescent="0.35">
      <c r="B30" s="54"/>
      <c r="C30" s="54"/>
      <c r="D30" s="54"/>
    </row>
    <row r="31" spans="1:4" ht="15.6" x14ac:dyDescent="0.3">
      <c r="B31" s="34" t="s">
        <v>17</v>
      </c>
      <c r="C31" s="35" t="s">
        <v>33</v>
      </c>
      <c r="D31" s="36"/>
    </row>
    <row r="32" spans="1:4" ht="15.6" x14ac:dyDescent="0.3">
      <c r="B32" s="39" t="s">
        <v>19</v>
      </c>
      <c r="C32" s="40">
        <v>500</v>
      </c>
      <c r="D32" s="41"/>
    </row>
    <row r="33" spans="2:4" ht="15.6" x14ac:dyDescent="0.3">
      <c r="B33" s="3"/>
      <c r="C33" s="42"/>
      <c r="D33" s="43"/>
    </row>
    <row r="34" spans="2:4" ht="15.6" x14ac:dyDescent="0.3">
      <c r="B34" s="44" t="s">
        <v>21</v>
      </c>
      <c r="C34" s="45" t="s">
        <v>28</v>
      </c>
      <c r="D34" s="46" t="s">
        <v>29</v>
      </c>
    </row>
    <row r="35" spans="2:4" ht="15.6" x14ac:dyDescent="0.3">
      <c r="B35" s="47" t="s">
        <v>22</v>
      </c>
      <c r="C35" s="48">
        <f>VLOOKUP(($C$31&amp;"-"&amp;B35),Planilha2!$A$1:$D$20,4,FALSE)</f>
        <v>0.3</v>
      </c>
      <c r="D35" s="49">
        <f>C35*$C$32</f>
        <v>150</v>
      </c>
    </row>
    <row r="36" spans="2:4" ht="15.6" x14ac:dyDescent="0.3">
      <c r="B36" s="47" t="s">
        <v>23</v>
      </c>
      <c r="C36" s="48">
        <f>VLOOKUP(($C$31&amp;"-"&amp;B36),Planilha2!$A$1:$D$20,4,FALSE)</f>
        <v>0.5</v>
      </c>
      <c r="D36" s="49">
        <f t="shared" ref="D36:D40" si="0">C36*$C$32</f>
        <v>250</v>
      </c>
    </row>
    <row r="37" spans="2:4" ht="15.6" x14ac:dyDescent="0.3">
      <c r="B37" s="47" t="s">
        <v>24</v>
      </c>
      <c r="C37" s="48">
        <f>VLOOKUP(($C$31&amp;"-"&amp;B37),Planilha2!$A$1:$D$20,4,FALSE)</f>
        <v>0.1</v>
      </c>
      <c r="D37" s="49">
        <f t="shared" si="0"/>
        <v>50</v>
      </c>
    </row>
    <row r="38" spans="2:4" ht="15.6" x14ac:dyDescent="0.3">
      <c r="B38" s="47" t="s">
        <v>25</v>
      </c>
      <c r="C38" s="48">
        <f>VLOOKUP(($C$31&amp;"-"&amp;B38),Planilha2!$A$1:$D$20,4,FALSE)</f>
        <v>0.1</v>
      </c>
      <c r="D38" s="49">
        <f t="shared" si="0"/>
        <v>50</v>
      </c>
    </row>
    <row r="39" spans="2:4" ht="15.6" x14ac:dyDescent="0.3">
      <c r="B39" s="47" t="s">
        <v>26</v>
      </c>
      <c r="C39" s="48">
        <f>VLOOKUP(($C$31&amp;"-"&amp;B39),Planilha2!$A$1:$D$20,4,FALSE)</f>
        <v>0</v>
      </c>
      <c r="D39" s="49">
        <f t="shared" si="0"/>
        <v>0</v>
      </c>
    </row>
    <row r="40" spans="2:4" ht="16.2" thickBot="1" x14ac:dyDescent="0.35">
      <c r="B40" s="50" t="s">
        <v>27</v>
      </c>
      <c r="C40" s="51">
        <f>VLOOKUP(($C$31&amp;"-"&amp;B40),Planilha2!$A$1:$D$20,4,FALSE)</f>
        <v>0</v>
      </c>
      <c r="D40" s="52">
        <f t="shared" si="0"/>
        <v>0</v>
      </c>
    </row>
    <row r="41" spans="2:4" x14ac:dyDescent="0.3">
      <c r="D41" s="28"/>
    </row>
  </sheetData>
  <mergeCells count="11">
    <mergeCell ref="B17:C17"/>
    <mergeCell ref="B19:C19"/>
    <mergeCell ref="B20:C20"/>
    <mergeCell ref="B21:C21"/>
    <mergeCell ref="B12:C12"/>
    <mergeCell ref="B13:C13"/>
    <mergeCell ref="B14:C14"/>
    <mergeCell ref="B16:D16"/>
    <mergeCell ref="B11:D11"/>
    <mergeCell ref="B18:C18"/>
    <mergeCell ref="B23:C23"/>
  </mergeCells>
  <dataValidations count="1">
    <dataValidation type="list" allowBlank="1" showInputMessage="1" showErrorMessage="1" sqref="C31" xr:uid="{6EFBD674-F9A3-4A4D-8D9E-C77FC2A4491D}">
      <formula1>"Moderado, Conservador,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D30C-0D5F-494D-A344-E3FF5C109EB8}">
  <dimension ref="A2:I20"/>
  <sheetViews>
    <sheetView workbookViewId="0">
      <selection activeCell="I8" sqref="I8"/>
    </sheetView>
  </sheetViews>
  <sheetFormatPr defaultRowHeight="14.4" x14ac:dyDescent="0.3"/>
  <cols>
    <col min="1" max="1" width="31.6640625" customWidth="1"/>
    <col min="2" max="2" width="23.109375" customWidth="1"/>
    <col min="3" max="3" width="28.33203125" customWidth="1"/>
    <col min="4" max="4" width="9.109375" bestFit="1" customWidth="1"/>
    <col min="8" max="8" width="17.33203125" customWidth="1"/>
  </cols>
  <sheetData>
    <row r="2" spans="1:9" x14ac:dyDescent="0.3">
      <c r="A2" t="s">
        <v>30</v>
      </c>
      <c r="B2" t="s">
        <v>17</v>
      </c>
      <c r="C2" t="s">
        <v>31</v>
      </c>
      <c r="D2" t="s">
        <v>32</v>
      </c>
    </row>
    <row r="3" spans="1:9" x14ac:dyDescent="0.3">
      <c r="A3" t="str">
        <f>B3&amp;"-"&amp;C3</f>
        <v>Conservador-Papel</v>
      </c>
      <c r="B3" t="s">
        <v>33</v>
      </c>
      <c r="C3" s="2" t="s">
        <v>22</v>
      </c>
      <c r="D3" s="29">
        <v>0.3</v>
      </c>
      <c r="I3" t="s">
        <v>32</v>
      </c>
    </row>
    <row r="4" spans="1:9" x14ac:dyDescent="0.3">
      <c r="A4" t="str">
        <f t="shared" ref="A4:A20" si="0">B4&amp;"-"&amp;C4</f>
        <v>Conservador-Tijolo</v>
      </c>
      <c r="B4" t="s">
        <v>33</v>
      </c>
      <c r="C4" s="2" t="s">
        <v>23</v>
      </c>
      <c r="D4" s="29">
        <v>0.5</v>
      </c>
      <c r="H4" s="27" t="str">
        <f>A10</f>
        <v>Moderado-Tijolo</v>
      </c>
      <c r="I4" s="33">
        <f>VLOOKUP(H4,$A$2:$D$20,4,FALSE)</f>
        <v>0.4</v>
      </c>
    </row>
    <row r="5" spans="1:9" x14ac:dyDescent="0.3">
      <c r="A5" t="str">
        <f t="shared" si="0"/>
        <v>Conservador-Hibridos</v>
      </c>
      <c r="B5" t="s">
        <v>33</v>
      </c>
      <c r="C5" s="2" t="s">
        <v>24</v>
      </c>
      <c r="D5" s="29">
        <v>0.1</v>
      </c>
      <c r="I5" s="29"/>
    </row>
    <row r="6" spans="1:9" x14ac:dyDescent="0.3">
      <c r="A6" t="str">
        <f t="shared" si="0"/>
        <v>Conservador-FOF's</v>
      </c>
      <c r="B6" t="s">
        <v>33</v>
      </c>
      <c r="C6" s="2" t="s">
        <v>25</v>
      </c>
      <c r="D6" s="29">
        <v>0.1</v>
      </c>
      <c r="I6" s="29"/>
    </row>
    <row r="7" spans="1:9" x14ac:dyDescent="0.3">
      <c r="A7" t="str">
        <f t="shared" si="0"/>
        <v>Conservador-Desenvolvimento</v>
      </c>
      <c r="B7" t="s">
        <v>33</v>
      </c>
      <c r="C7" s="2" t="s">
        <v>26</v>
      </c>
      <c r="D7" s="29">
        <v>0</v>
      </c>
      <c r="I7" s="29"/>
    </row>
    <row r="8" spans="1:9" ht="15" thickBot="1" x14ac:dyDescent="0.35">
      <c r="A8" s="30" t="str">
        <f t="shared" si="0"/>
        <v>Conservador-Hotelarias</v>
      </c>
      <c r="B8" s="30" t="s">
        <v>33</v>
      </c>
      <c r="C8" s="31" t="s">
        <v>27</v>
      </c>
      <c r="D8" s="32">
        <v>0</v>
      </c>
      <c r="I8" s="29"/>
    </row>
    <row r="9" spans="1:9" x14ac:dyDescent="0.3">
      <c r="A9" t="str">
        <f t="shared" si="0"/>
        <v>Moderado-Papel</v>
      </c>
      <c r="B9" t="s">
        <v>18</v>
      </c>
      <c r="C9" s="2" t="s">
        <v>22</v>
      </c>
      <c r="D9" s="29">
        <v>0.32</v>
      </c>
      <c r="I9" s="29"/>
    </row>
    <row r="10" spans="1:9" x14ac:dyDescent="0.3">
      <c r="A10" t="str">
        <f t="shared" si="0"/>
        <v>Moderado-Tijolo</v>
      </c>
      <c r="B10" t="s">
        <v>18</v>
      </c>
      <c r="C10" s="2" t="s">
        <v>23</v>
      </c>
      <c r="D10" s="29">
        <v>0.4</v>
      </c>
      <c r="I10" s="29"/>
    </row>
    <row r="11" spans="1:9" x14ac:dyDescent="0.3">
      <c r="A11" t="str">
        <f t="shared" si="0"/>
        <v>Moderado-Hibridos</v>
      </c>
      <c r="B11" t="s">
        <v>18</v>
      </c>
      <c r="C11" s="2" t="s">
        <v>24</v>
      </c>
      <c r="D11" s="29">
        <v>0.08</v>
      </c>
      <c r="I11" s="29"/>
    </row>
    <row r="12" spans="1:9" x14ac:dyDescent="0.3">
      <c r="A12" t="str">
        <f t="shared" si="0"/>
        <v>Moderado-FOF's</v>
      </c>
      <c r="B12" t="s">
        <v>18</v>
      </c>
      <c r="C12" s="2" t="s">
        <v>25</v>
      </c>
      <c r="D12" s="29">
        <v>0.1</v>
      </c>
      <c r="I12" s="29"/>
    </row>
    <row r="13" spans="1:9" x14ac:dyDescent="0.3">
      <c r="A13" t="str">
        <f t="shared" si="0"/>
        <v>Moderado-Desenvolvimento</v>
      </c>
      <c r="B13" t="s">
        <v>18</v>
      </c>
      <c r="C13" s="2" t="s">
        <v>26</v>
      </c>
      <c r="D13" s="29">
        <v>0.1</v>
      </c>
      <c r="I13" s="29"/>
    </row>
    <row r="14" spans="1:9" ht="15" thickBot="1" x14ac:dyDescent="0.35">
      <c r="A14" s="30" t="str">
        <f t="shared" si="0"/>
        <v>Moderado-Hotelarias</v>
      </c>
      <c r="B14" s="30" t="s">
        <v>18</v>
      </c>
      <c r="C14" s="31" t="s">
        <v>27</v>
      </c>
      <c r="D14" s="32">
        <v>0.1</v>
      </c>
      <c r="I14" s="29"/>
    </row>
    <row r="15" spans="1:9" x14ac:dyDescent="0.3">
      <c r="A15" t="str">
        <f t="shared" si="0"/>
        <v>Agressivo-Papel</v>
      </c>
      <c r="B15" t="s">
        <v>20</v>
      </c>
      <c r="C15" s="2" t="s">
        <v>22</v>
      </c>
      <c r="D15" s="29">
        <v>0.5</v>
      </c>
      <c r="I15" s="29"/>
    </row>
    <row r="16" spans="1:9" x14ac:dyDescent="0.3">
      <c r="A16" t="str">
        <f t="shared" si="0"/>
        <v>Agressivo-Tijolo</v>
      </c>
      <c r="B16" t="s">
        <v>20</v>
      </c>
      <c r="C16" s="2" t="s">
        <v>23</v>
      </c>
      <c r="D16" s="29">
        <v>0.1</v>
      </c>
      <c r="I16" s="29"/>
    </row>
    <row r="17" spans="1:9" x14ac:dyDescent="0.3">
      <c r="A17" t="str">
        <f t="shared" si="0"/>
        <v>Agressivo-Hibridos</v>
      </c>
      <c r="B17" t="s">
        <v>20</v>
      </c>
      <c r="C17" s="2" t="s">
        <v>24</v>
      </c>
      <c r="D17" s="29">
        <v>0.05</v>
      </c>
      <c r="I17" s="29"/>
    </row>
    <row r="18" spans="1:9" x14ac:dyDescent="0.3">
      <c r="A18" t="str">
        <f t="shared" si="0"/>
        <v>Agressivo-FOF's</v>
      </c>
      <c r="B18" t="s">
        <v>20</v>
      </c>
      <c r="C18" s="2" t="s">
        <v>25</v>
      </c>
      <c r="D18" s="29">
        <v>0.05</v>
      </c>
      <c r="I18" s="29"/>
    </row>
    <row r="19" spans="1:9" x14ac:dyDescent="0.3">
      <c r="A19" t="str">
        <f t="shared" si="0"/>
        <v>Agressivo-Desenvolvimento</v>
      </c>
      <c r="B19" t="s">
        <v>20</v>
      </c>
      <c r="C19" s="2" t="s">
        <v>26</v>
      </c>
      <c r="D19" s="29">
        <v>0.2</v>
      </c>
      <c r="I19" s="29"/>
    </row>
    <row r="20" spans="1:9" x14ac:dyDescent="0.3">
      <c r="A20" t="str">
        <f t="shared" si="0"/>
        <v>Agressivo-Hotelarias</v>
      </c>
      <c r="B20" t="s">
        <v>20</v>
      </c>
      <c r="C20" s="2" t="s">
        <v>27</v>
      </c>
      <c r="D20" s="29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Planilha1</vt:lpstr>
      <vt:lpstr>Planilha2</vt:lpstr>
      <vt:lpstr>aporte</vt:lpstr>
      <vt:lpstr>qtd_anos</vt:lpstr>
      <vt:lpstr>rendimento_carteira</vt:lpstr>
      <vt:lpstr>taxa_rendimento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Victor Candido Ribeiro</dc:creator>
  <cp:lastModifiedBy>João Victor Candido Ribeiro</cp:lastModifiedBy>
  <dcterms:created xsi:type="dcterms:W3CDTF">2026-05-04T18:35:59Z</dcterms:created>
  <dcterms:modified xsi:type="dcterms:W3CDTF">2026-05-11T12:43:45Z</dcterms:modified>
</cp:coreProperties>
</file>